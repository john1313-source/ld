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예산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WenQuanYi Zen Hei"/>
            <family val="2"/>
          </rPr>
          <t xml:space="preserve">사용자 제시 총예산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가구 포함 약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억 원 </t>
        </r>
        <r>
          <rPr>
            <sz val="10"/>
            <rFont val="Arial"/>
            <family val="2"/>
          </rPr>
          <t xml:space="preserve">(= 50,000</t>
        </r>
        <r>
          <rPr>
            <sz val="10"/>
            <rFont val="WenQuanYi Zen Hei"/>
            <family val="2"/>
          </rPr>
          <t xml:space="preserve">만 원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<sst xmlns="http://schemas.openxmlformats.org/spreadsheetml/2006/main" count="169" uniqueCount="96">
  <si>
    <r>
      <rPr>
        <b val="true"/>
        <sz val="14"/>
        <rFont val="WenQuanYi Zen Hei"/>
        <family val="2"/>
      </rPr>
      <t xml:space="preserve">예산 요약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단위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만 원</t>
    </r>
    <r>
      <rPr>
        <b val="true"/>
        <sz val="14"/>
        <rFont val="Arial"/>
        <family val="0"/>
        <charset val="1"/>
      </rPr>
      <t xml:space="preserve">)</t>
    </r>
  </si>
  <si>
    <t xml:space="preserve">구분</t>
  </si>
  <si>
    <t xml:space="preserve">하한</t>
  </si>
  <si>
    <t xml:space="preserve">상한</t>
  </si>
  <si>
    <t xml:space="preserve">미확인 항목 수</t>
  </si>
  <si>
    <t xml:space="preserve">공사</t>
  </si>
  <si>
    <t xml:space="preserve">가전</t>
  </si>
  <si>
    <t xml:space="preserve">가구</t>
  </si>
  <si>
    <t xml:space="preserve">확인된 항목 합계</t>
  </si>
  <si>
    <r>
      <rPr>
        <b val="true"/>
        <sz val="11"/>
        <rFont val="WenQuanYi Zen Hei"/>
        <family val="2"/>
      </rPr>
      <t xml:space="preserve">총예산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가구 포함</t>
    </r>
    <r>
      <rPr>
        <b val="true"/>
        <sz val="11"/>
        <rFont val="Arial"/>
        <family val="0"/>
        <charset val="1"/>
      </rPr>
      <t xml:space="preserve">)</t>
    </r>
  </si>
  <si>
    <t xml:space="preserve">남는 금액</t>
  </si>
  <si>
    <t xml:space="preserve">총예산 대비 사용률</t>
  </si>
  <si>
    <r>
      <rPr>
        <i val="true"/>
        <sz val="9"/>
        <rFont val="WenQuanYi Zen Hei"/>
        <family val="2"/>
      </rPr>
      <t xml:space="preserve">하한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WenQuanYi Zen Hei"/>
        <family val="2"/>
      </rPr>
      <t xml:space="preserve">상한은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예산표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WenQuanYi Zen Hei"/>
        <family val="2"/>
      </rPr>
      <t xml:space="preserve">시트에서 금액이 확인된 항목만 합친 값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노란 칸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미확인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WenQuanYi Zen Hei"/>
        <family val="2"/>
      </rPr>
      <t xml:space="preserve">에 금액을 넣으면 자동으로 반영됨</t>
    </r>
    <r>
      <rPr>
        <i val="true"/>
        <sz val="9"/>
        <rFont val="Arial"/>
        <family val="0"/>
        <charset val="1"/>
      </rPr>
      <t xml:space="preserve">.</t>
    </r>
  </si>
  <si>
    <r>
      <rPr>
        <i val="true"/>
        <sz val="9"/>
        <rFont val="WenQuanYi Zen Hei"/>
        <family val="2"/>
      </rPr>
      <t xml:space="preserve">레이지보이 소파는 사용자 지정 </t>
    </r>
    <r>
      <rPr>
        <i val="true"/>
        <sz val="9"/>
        <rFont val="Arial"/>
        <family val="0"/>
        <charset val="1"/>
      </rPr>
      <t xml:space="preserve">1,000</t>
    </r>
    <r>
      <rPr>
        <i val="true"/>
        <sz val="9"/>
        <rFont val="WenQuanYi Zen Hei"/>
        <family val="2"/>
      </rPr>
      <t xml:space="preserve">만 원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나머지 금액은 웹 검색 요약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전해 들음</t>
    </r>
    <r>
      <rPr>
        <i val="true"/>
        <sz val="9"/>
        <rFont val="Arial"/>
        <family val="0"/>
        <charset val="1"/>
      </rPr>
      <t xml:space="preserve">).</t>
    </r>
  </si>
  <si>
    <r>
      <rPr>
        <b val="true"/>
        <sz val="14"/>
        <rFont val="WenQuanYi Zen Hei"/>
        <family val="2"/>
      </rPr>
      <t xml:space="preserve">브라운스톤휘경 </t>
    </r>
    <r>
      <rPr>
        <b val="true"/>
        <sz val="14"/>
        <rFont val="Arial"/>
        <family val="0"/>
        <charset val="1"/>
      </rPr>
      <t xml:space="preserve">42</t>
    </r>
    <r>
      <rPr>
        <b val="true"/>
        <sz val="14"/>
        <rFont val="WenQuanYi Zen Hei"/>
        <family val="2"/>
      </rPr>
      <t xml:space="preserve">평 재설계 — 예산 대조표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단위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만 원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</si>
  <si>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rFont val="WenQuanYi Zen Hei"/>
        <family val="2"/>
      </rPr>
      <t xml:space="preserve">조사일 </t>
    </r>
    <r>
      <rPr>
        <i val="true"/>
        <sz val="9"/>
        <rFont val="Arial"/>
        <family val="0"/>
        <charset val="1"/>
      </rPr>
      <t xml:space="preserve">2026-09-24. </t>
    </r>
    <r>
      <rPr>
        <i val="true"/>
        <sz val="9"/>
        <rFont val="WenQuanYi Zen Hei"/>
        <family val="2"/>
      </rPr>
      <t xml:space="preserve">금액은 웹 검색 결과 요약에서 가져온 값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전해 들음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WenQuanYi Zen Hei"/>
        <family val="2"/>
      </rPr>
      <t xml:space="preserve">이며 상세페이지를 직접 확인하지 못함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파란 글씨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입력값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검은 글씨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수식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노란 칸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금액 입력 필요</t>
    </r>
    <r>
      <rPr>
        <i val="true"/>
        <sz val="9"/>
        <rFont val="Arial"/>
        <family val="0"/>
        <charset val="1"/>
      </rPr>
      <t xml:space="preserve">.</t>
    </r>
  </si>
  <si>
    <t xml:space="preserve">항목</t>
  </si>
  <si>
    <t xml:space="preserve">모델 내용</t>
  </si>
  <si>
    <r>
      <rPr>
        <b val="true"/>
        <sz val="11"/>
        <color rgb="FFFFFFFF"/>
        <rFont val="WenQuanYi Zen Hei"/>
        <family val="2"/>
      </rPr>
      <t xml:space="preserve">대조 제품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WenQuanYi Zen Hei"/>
        <family val="2"/>
      </rPr>
      <t xml:space="preserve">기준</t>
    </r>
  </si>
  <si>
    <r>
      <rPr>
        <b val="true"/>
        <sz val="11"/>
        <color rgb="FFFFFFFF"/>
        <rFont val="WenQuanYi Zen Hei"/>
        <family val="2"/>
      </rPr>
      <t xml:space="preserve">하한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만 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</si>
  <si>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상한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만 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</si>
  <si>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근거 수준</t>
  </si>
  <si>
    <t xml:space="preserve">출처</t>
  </si>
  <si>
    <t xml:space="preserve">비고</t>
  </si>
  <si>
    <t xml:space="preserve">올수리 기본 공사</t>
  </si>
  <si>
    <r>
      <rPr>
        <sz val="11"/>
        <rFont val="WenQuanYi Zen Hei"/>
        <family val="2"/>
      </rPr>
      <t xml:space="preserve">무몰딩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히든도어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포세린 타일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강마루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라인조명</t>
    </r>
  </si>
  <si>
    <r>
      <rPr>
        <sz val="11"/>
        <rFont val="WenQuanYi Zen Hei"/>
        <family val="2"/>
      </rPr>
      <t xml:space="preserve">평당 </t>
    </r>
    <r>
      <rPr>
        <sz val="11"/>
        <rFont val="Arial"/>
        <family val="0"/>
        <charset val="1"/>
      </rPr>
      <t xml:space="preserve">100~250</t>
    </r>
    <r>
      <rPr>
        <sz val="11"/>
        <rFont val="WenQuanYi Zen Hei"/>
        <family val="2"/>
      </rPr>
      <t xml:space="preserve">만 원 </t>
    </r>
    <r>
      <rPr>
        <sz val="11"/>
        <rFont val="Arial"/>
        <family val="0"/>
        <charset val="1"/>
      </rPr>
      <t xml:space="preserve">× 42.49</t>
    </r>
    <r>
      <rPr>
        <sz val="11"/>
        <rFont val="WenQuanYi Zen Hei"/>
        <family val="2"/>
      </rPr>
      <t xml:space="preserve">평</t>
    </r>
  </si>
  <si>
    <r>
      <rPr>
        <sz val="11"/>
        <rFont val="WenQuanYi Zen Hei"/>
        <family val="2"/>
      </rPr>
      <t xml:space="preserve">전해 들음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검색 요약</t>
    </r>
    <r>
      <rPr>
        <sz val="11"/>
        <rFont val="Arial"/>
        <family val="0"/>
        <charset val="1"/>
      </rPr>
      <t xml:space="preserve">)</t>
    </r>
  </si>
  <si>
    <t xml:space="preserve">링크</t>
  </si>
  <si>
    <r>
      <rPr>
        <sz val="11"/>
        <rFont val="WenQuanYi Zen Hei"/>
        <family val="2"/>
      </rPr>
      <t xml:space="preserve">평당 단가에 샷시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확장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에어컨이 포함된 견적이면 아래 항목과 중복</t>
    </r>
  </si>
  <si>
    <t xml:space="preserve">샷시 교체</t>
  </si>
  <si>
    <t xml:space="preserve">확장부 이중창</t>
  </si>
  <si>
    <r>
      <rPr>
        <sz val="11"/>
        <rFont val="Arial"/>
        <family val="0"/>
        <charset val="1"/>
      </rPr>
      <t xml:space="preserve">40</t>
    </r>
    <r>
      <rPr>
        <sz val="11"/>
        <rFont val="WenQuanYi Zen Hei"/>
        <family val="2"/>
      </rPr>
      <t xml:space="preserve">평대 </t>
    </r>
    <r>
      <rPr>
        <sz val="11"/>
        <rFont val="Arial"/>
        <family val="0"/>
        <charset val="1"/>
      </rPr>
      <t xml:space="preserve">300~600</t>
    </r>
    <r>
      <rPr>
        <sz val="11"/>
        <rFont val="WenQuanYi Zen Hei"/>
        <family val="2"/>
      </rPr>
      <t xml:space="preserve">만 원 이상</t>
    </r>
  </si>
  <si>
    <r>
      <rPr>
        <sz val="11"/>
        <rFont val="WenQuanYi Zen Hei"/>
        <family val="2"/>
      </rPr>
      <t xml:space="preserve">발코니 확장 — 거실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안방</t>
    </r>
  </si>
  <si>
    <r>
      <rPr>
        <sz val="11"/>
        <rFont val="WenQuanYi Zen Hei"/>
        <family val="2"/>
      </rPr>
      <t xml:space="preserve">창호벽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날개벽 전부 철거</t>
    </r>
  </si>
  <si>
    <r>
      <rPr>
        <sz val="11"/>
        <rFont val="WenQuanYi Zen Hei"/>
        <family val="2"/>
      </rPr>
      <t xml:space="preserve">거실 </t>
    </r>
    <r>
      <rPr>
        <sz val="11"/>
        <rFont val="Arial"/>
        <family val="0"/>
        <charset val="1"/>
      </rPr>
      <t xml:space="preserve">100~150 + </t>
    </r>
    <r>
      <rPr>
        <sz val="11"/>
        <rFont val="WenQuanYi Zen Hei"/>
        <family val="2"/>
      </rPr>
      <t xml:space="preserve">안방 </t>
    </r>
    <r>
      <rPr>
        <sz val="11"/>
        <rFont val="Arial"/>
        <family val="0"/>
        <charset val="1"/>
      </rPr>
      <t xml:space="preserve">80~120</t>
    </r>
  </si>
  <si>
    <r>
      <rPr>
        <sz val="11"/>
        <rFont val="WenQuanYi Zen Hei"/>
        <family val="2"/>
      </rPr>
      <t xml:space="preserve">발코니 확장 — 자녀방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곳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주방 뒤</t>
    </r>
  </si>
  <si>
    <t xml:space="preserve">미확인</t>
  </si>
  <si>
    <t xml:space="preserve">—</t>
  </si>
  <si>
    <t xml:space="preserve">금액 입력 필요</t>
  </si>
  <si>
    <r>
      <rPr>
        <sz val="11"/>
        <rFont val="WenQuanYi Zen Hei"/>
        <family val="2"/>
      </rPr>
      <t xml:space="preserve">시스템에어컨 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대</t>
    </r>
  </si>
  <si>
    <r>
      <rPr>
        <sz val="11"/>
        <rFont val="WenQuanYi Zen Hei"/>
        <family val="2"/>
      </rPr>
      <t xml:space="preserve">거실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주방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안방 대형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서재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자녀방 소형</t>
    </r>
  </si>
  <si>
    <r>
      <rPr>
        <sz val="11"/>
        <rFont val="Arial"/>
        <family val="0"/>
        <charset val="1"/>
      </rPr>
      <t xml:space="preserve">40</t>
    </r>
    <r>
      <rPr>
        <sz val="11"/>
        <rFont val="WenQuanYi Zen Hei"/>
        <family val="2"/>
      </rPr>
      <t xml:space="preserve">평대 </t>
    </r>
    <r>
      <rPr>
        <sz val="11"/>
        <rFont val="Arial"/>
        <family val="0"/>
        <charset val="1"/>
      </rPr>
      <t xml:space="preserve">5~6</t>
    </r>
    <r>
      <rPr>
        <sz val="11"/>
        <rFont val="WenQuanYi Zen Hei"/>
        <family val="2"/>
      </rPr>
      <t xml:space="preserve">대 </t>
    </r>
    <r>
      <rPr>
        <sz val="11"/>
        <rFont val="Arial"/>
        <family val="0"/>
        <charset val="1"/>
      </rPr>
      <t xml:space="preserve">850~1,200</t>
    </r>
    <r>
      <rPr>
        <sz val="11"/>
        <rFont val="WenQuanYi Zen Hei"/>
        <family val="2"/>
      </rPr>
      <t xml:space="preserve">만 원</t>
    </r>
  </si>
  <si>
    <r>
      <rPr>
        <sz val="11"/>
        <rFont val="WenQuanYi Zen Hei"/>
        <family val="2"/>
      </rPr>
      <t xml:space="preserve">욕실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개</t>
    </r>
  </si>
  <si>
    <r>
      <rPr>
        <sz val="11"/>
        <rFont val="WenQuanYi Zen Hei"/>
        <family val="2"/>
      </rPr>
      <t xml:space="preserve">안방욕실 반신욕조 </t>
    </r>
    <r>
      <rPr>
        <sz val="11"/>
        <rFont val="Arial"/>
        <family val="0"/>
        <charset val="1"/>
      </rPr>
      <t xml:space="preserve">750, </t>
    </r>
    <r>
      <rPr>
        <sz val="11"/>
        <rFont val="WenQuanYi Zen Hei"/>
        <family val="2"/>
      </rPr>
      <t xml:space="preserve">공용욕실 욕조</t>
    </r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</si>
  <si>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개당 </t>
    </r>
    <r>
      <rPr>
        <sz val="11"/>
        <rFont val="Arial"/>
        <family val="0"/>
        <charset val="1"/>
      </rPr>
      <t xml:space="preserve">230(</t>
    </r>
    <r>
      <rPr>
        <sz val="11"/>
        <rFont val="WenQuanYi Zen Hei"/>
        <family val="2"/>
      </rPr>
      <t xml:space="preserve">평균</t>
    </r>
    <r>
      <rPr>
        <sz val="11"/>
        <rFont val="Arial"/>
        <family val="0"/>
        <charset val="1"/>
      </rPr>
      <t xml:space="preserve">)~950(</t>
    </r>
    <r>
      <rPr>
        <sz val="11"/>
        <rFont val="WenQuanYi Zen Hei"/>
        <family val="2"/>
      </rPr>
      <t xml:space="preserve">프리미엄</t>
    </r>
    <r>
      <rPr>
        <sz val="11"/>
        <rFont val="Arial"/>
        <family val="0"/>
        <charset val="1"/>
      </rPr>
      <t xml:space="preserve">) × 2</t>
    </r>
  </si>
  <si>
    <t xml:space="preserve">주방가구</t>
  </si>
  <si>
    <r>
      <rPr>
        <sz val="11"/>
        <rFont val="WenQuanYi Zen Hei"/>
        <family val="2"/>
      </rPr>
      <t xml:space="preserve">창측 하부장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좌우 키큰장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인덕션 아일랜드</t>
    </r>
  </si>
  <si>
    <r>
      <rPr>
        <sz val="11"/>
        <rFont val="WenQuanYi Zen Hei"/>
        <family val="2"/>
      </rPr>
      <t xml:space="preserve">한샘 키친바흐 </t>
    </r>
    <r>
      <rPr>
        <sz val="11"/>
        <rFont val="Arial"/>
        <family val="0"/>
        <charset val="1"/>
      </rPr>
      <t xml:space="preserve">40</t>
    </r>
    <r>
      <rPr>
        <sz val="11"/>
        <rFont val="WenQuanYi Zen Hei"/>
        <family val="2"/>
      </rPr>
      <t xml:space="preserve">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세트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기기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시공 제외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</si>
  <si>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붙박이장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드레스룸</t>
    </r>
  </si>
  <si>
    <r>
      <rPr>
        <sz val="11"/>
        <rFont val="WenQuanYi Zen Hei"/>
        <family val="2"/>
      </rPr>
      <t xml:space="preserve">자녀방 </t>
    </r>
    <r>
      <rPr>
        <sz val="11"/>
        <rFont val="Arial"/>
        <family val="0"/>
        <charset val="1"/>
      </rPr>
      <t xml:space="preserve">2, </t>
    </r>
    <r>
      <rPr>
        <sz val="11"/>
        <rFont val="WenQuanYi Zen Hei"/>
        <family val="2"/>
      </rPr>
      <t xml:space="preserve">안방 드레스룸</t>
    </r>
  </si>
  <si>
    <r>
      <rPr>
        <sz val="11"/>
        <rFont val="WenQuanYi Zen Hei"/>
        <family val="2"/>
      </rPr>
      <t xml:space="preserve">방당 </t>
    </r>
    <r>
      <rPr>
        <sz val="11"/>
        <rFont val="Arial"/>
        <family val="0"/>
        <charset val="1"/>
      </rPr>
      <t xml:space="preserve">100~300 × 2 + </t>
    </r>
    <r>
      <rPr>
        <sz val="11"/>
        <rFont val="WenQuanYi Zen Hei"/>
        <family val="2"/>
      </rPr>
      <t xml:space="preserve">드레스룸 </t>
    </r>
    <r>
      <rPr>
        <sz val="11"/>
        <rFont val="Arial"/>
        <family val="0"/>
        <charset val="1"/>
      </rPr>
      <t xml:space="preserve">200~500</t>
    </r>
  </si>
  <si>
    <r>
      <rPr>
        <sz val="11"/>
        <rFont val="WenQuanYi Zen Hei"/>
        <family val="2"/>
      </rPr>
      <t xml:space="preserve">제작 가구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신발장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팬트리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서재 책장</t>
    </r>
    <r>
      <rPr>
        <sz val="11"/>
        <rFont val="Arial"/>
        <family val="0"/>
        <charset val="1"/>
      </rPr>
      <t xml:space="preserve">·TV</t>
    </r>
    <r>
      <rPr>
        <sz val="11"/>
        <rFont val="WenQuanYi Zen Hei"/>
        <family val="2"/>
      </rPr>
      <t xml:space="preserve">장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</si>
  <si>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커튼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거실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안방 전동</t>
    </r>
    <r>
      <rPr>
        <sz val="11"/>
        <rFont val="Arial"/>
        <family val="0"/>
        <charset val="1"/>
      </rPr>
      <t xml:space="preserve">)</t>
    </r>
  </si>
  <si>
    <t xml:space="preserve">쉬어 커튼</t>
  </si>
  <si>
    <r>
      <rPr>
        <sz val="11"/>
        <rFont val="Arial"/>
        <family val="0"/>
        <charset val="1"/>
      </rPr>
      <t xml:space="preserve">30</t>
    </r>
    <r>
      <rPr>
        <sz val="11"/>
        <rFont val="WenQuanYi Zen Hei"/>
        <family val="2"/>
      </rPr>
      <t xml:space="preserve">평대 거실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안방 전동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블라인드 약 </t>
    </r>
    <r>
      <rPr>
        <sz val="11"/>
        <rFont val="Arial"/>
        <family val="0"/>
        <charset val="1"/>
      </rPr>
      <t xml:space="preserve">150</t>
    </r>
    <r>
      <rPr>
        <sz val="11"/>
        <rFont val="WenQuanYi Zen Hei"/>
        <family val="2"/>
      </rPr>
      <t xml:space="preserve">만 원 사례</t>
    </r>
  </si>
  <si>
    <t xml:space="preserve">냉장고</t>
  </si>
  <si>
    <t xml:space="preserve">좌측 키큰장 빌트인</t>
  </si>
  <si>
    <r>
      <rPr>
        <sz val="11"/>
        <rFont val="WenQuanYi Zen Hei"/>
        <family val="2"/>
      </rPr>
      <t xml:space="preserve">삼성 비스포크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도어 키친핏 맥스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출고가</t>
    </r>
    <r>
      <rPr>
        <sz val="11"/>
        <rFont val="Arial"/>
        <family val="0"/>
        <charset val="1"/>
      </rPr>
      <t xml:space="preserve">)</t>
    </r>
  </si>
  <si>
    <t xml:space="preserve">김치냉장고</t>
  </si>
  <si>
    <t xml:space="preserve">우측 키큰장</t>
  </si>
  <si>
    <r>
      <rPr>
        <sz val="11"/>
        <rFont val="WenQuanYi Zen Hei"/>
        <family val="2"/>
      </rPr>
      <t xml:space="preserve">식기세척기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인덕션</t>
    </r>
  </si>
  <si>
    <t xml:space="preserve">아일랜드 인덕션</t>
  </si>
  <si>
    <r>
      <rPr>
        <sz val="11"/>
        <rFont val="WenQuanYi Zen Hei"/>
        <family val="2"/>
      </rPr>
      <t xml:space="preserve">삼성 비스포크 </t>
    </r>
    <r>
      <rPr>
        <sz val="11"/>
        <rFont val="Arial"/>
        <family val="0"/>
        <charset val="1"/>
      </rPr>
      <t xml:space="preserve">14</t>
    </r>
    <r>
      <rPr>
        <sz val="11"/>
        <rFont val="WenQuanYi Zen Hei"/>
        <family val="2"/>
      </rPr>
      <t xml:space="preserve">인용 </t>
    </r>
    <r>
      <rPr>
        <sz val="11"/>
        <rFont val="Arial"/>
        <family val="0"/>
        <charset val="1"/>
      </rPr>
      <t xml:space="preserve">+ 3</t>
    </r>
    <r>
      <rPr>
        <sz val="11"/>
        <rFont val="WenQuanYi Zen Hei"/>
        <family val="2"/>
      </rPr>
      <t xml:space="preserve">구 인덕션 세트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할인가</t>
    </r>
    <r>
      <rPr>
        <sz val="11"/>
        <rFont val="Arial"/>
        <family val="0"/>
        <charset val="1"/>
      </rPr>
      <t xml:space="preserve">~</t>
    </r>
    <r>
      <rPr>
        <sz val="11"/>
        <rFont val="WenQuanYi Zen Hei"/>
        <family val="2"/>
      </rPr>
      <t xml:space="preserve">정가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</si>
  <si>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천장형 후드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오븐</t>
    </r>
  </si>
  <si>
    <r>
      <rPr>
        <sz val="11"/>
        <rFont val="WenQuanYi Zen Hei"/>
        <family val="2"/>
      </rPr>
      <t xml:space="preserve">아일랜드 상부 후드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키큰장 오븐</t>
    </r>
  </si>
  <si>
    <r>
      <rPr>
        <sz val="11"/>
        <rFont val="WenQuanYi Zen Hei"/>
        <family val="2"/>
      </rPr>
      <t xml:space="preserve">세탁기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건조기</t>
    </r>
  </si>
  <si>
    <t xml:space="preserve">다용도실 직렬</t>
  </si>
  <si>
    <r>
      <rPr>
        <sz val="11"/>
        <rFont val="Arial"/>
        <family val="0"/>
        <charset val="1"/>
      </rPr>
      <t xml:space="preserve">LG </t>
    </r>
    <r>
      <rPr>
        <sz val="11"/>
        <rFont val="WenQuanYi Zen Hei"/>
        <family val="2"/>
      </rPr>
      <t xml:space="preserve">트롬 워시타워 </t>
    </r>
    <r>
      <rPr>
        <sz val="11"/>
        <rFont val="Arial"/>
        <family val="0"/>
        <charset val="1"/>
      </rPr>
      <t xml:space="preserve">(W2520WHM ~ WA2525EGZF)</t>
    </r>
  </si>
  <si>
    <r>
      <rPr>
        <sz val="11"/>
        <rFont val="Arial"/>
        <family val="0"/>
        <charset val="1"/>
      </rPr>
      <t xml:space="preserve">TV 85</t>
    </r>
    <r>
      <rPr>
        <sz val="11"/>
        <rFont val="WenQuanYi Zen Hei"/>
        <family val="2"/>
      </rPr>
      <t xml:space="preserve">인치</t>
    </r>
  </si>
  <si>
    <t xml:space="preserve">거실 아트월</t>
  </si>
  <si>
    <r>
      <rPr>
        <sz val="11"/>
        <rFont val="WenQuanYi Zen Hei"/>
        <family val="2"/>
      </rPr>
      <t xml:space="preserve">삼성 </t>
    </r>
    <r>
      <rPr>
        <sz val="11"/>
        <rFont val="Arial"/>
        <family val="0"/>
        <charset val="1"/>
      </rPr>
      <t xml:space="preserve">2026</t>
    </r>
    <r>
      <rPr>
        <sz val="11"/>
        <rFont val="WenQuanYi Zen Hei"/>
        <family val="2"/>
      </rPr>
      <t xml:space="preserve">년형 </t>
    </r>
    <r>
      <rPr>
        <sz val="11"/>
        <rFont val="Arial"/>
        <family val="0"/>
        <charset val="1"/>
      </rPr>
      <t xml:space="preserve">85</t>
    </r>
    <r>
      <rPr>
        <sz val="11"/>
        <rFont val="WenQuanYi Zen Hei"/>
        <family val="2"/>
      </rPr>
      <t xml:space="preserve">인치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미니</t>
    </r>
    <r>
      <rPr>
        <sz val="11"/>
        <rFont val="Arial"/>
        <family val="0"/>
        <charset val="1"/>
      </rPr>
      <t xml:space="preserve">LED ~ </t>
    </r>
    <r>
      <rPr>
        <sz val="11"/>
        <rFont val="WenQuanYi Zen Hei"/>
        <family val="2"/>
      </rPr>
      <t xml:space="preserve">네오</t>
    </r>
    <r>
      <rPr>
        <sz val="11"/>
        <rFont val="Arial"/>
        <family val="0"/>
        <charset val="1"/>
      </rPr>
      <t xml:space="preserve">QLED </t>
    </r>
    <r>
      <rPr>
        <sz val="11"/>
        <rFont val="WenQuanYi Zen Hei"/>
        <family val="2"/>
      </rPr>
      <t xml:space="preserve">출시가</t>
    </r>
    <r>
      <rPr>
        <sz val="11"/>
        <rFont val="Arial"/>
        <family val="0"/>
        <charset val="1"/>
      </rPr>
      <t xml:space="preserve">)</t>
    </r>
  </si>
  <si>
    <t xml:space="preserve">거실 소파 — 레이지보이</t>
  </si>
  <si>
    <r>
      <rPr>
        <sz val="11"/>
        <rFont val="WenQuanYi Zen Hei"/>
        <family val="2"/>
      </rPr>
      <t xml:space="preserve">폭 약 </t>
    </r>
    <r>
      <rPr>
        <sz val="11"/>
        <rFont val="Arial"/>
        <family val="0"/>
        <charset val="1"/>
      </rPr>
      <t xml:space="preserve">3.2 m</t>
    </r>
  </si>
  <si>
    <r>
      <rPr>
        <sz val="11"/>
        <rFont val="WenQuanYi Zen Hei"/>
        <family val="2"/>
      </rPr>
      <t xml:space="preserve">레이지보이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사용자 지정 예산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</si>
  <si>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확인됨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사용자 지정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</si>
  <si>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사용자 지정 </t>
    </r>
    <r>
      <rPr>
        <sz val="11"/>
        <rFont val="Arial"/>
        <family val="0"/>
        <charset val="1"/>
      </rPr>
      <t xml:space="preserve">1,000</t>
    </r>
    <r>
      <rPr>
        <sz val="11"/>
        <rFont val="WenQuanYi Zen Hei"/>
        <family val="2"/>
      </rPr>
      <t xml:space="preserve">만 원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제품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모델명 미정</t>
    </r>
  </si>
  <si>
    <r>
      <rPr>
        <sz val="11"/>
        <rFont val="WenQuanYi Zen Hei"/>
        <family val="2"/>
      </rPr>
      <t xml:space="preserve">라운지체어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개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거실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안방 창가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</si>
  <si>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인 체어</t>
    </r>
  </si>
  <si>
    <r>
      <rPr>
        <sz val="11"/>
        <rFont val="WenQuanYi Zen Hei"/>
        <family val="2"/>
      </rPr>
      <t xml:space="preserve">레이지보이 그레이슨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인 리클라이너 </t>
    </r>
    <r>
      <rPr>
        <sz val="11"/>
        <rFont val="Arial"/>
        <family val="0"/>
        <charset val="1"/>
      </rPr>
      <t xml:space="preserve">× 2</t>
    </r>
  </si>
  <si>
    <t xml:space="preserve">안방 킹 매트리스</t>
  </si>
  <si>
    <t xml:space="preserve">킹 침대</t>
  </si>
  <si>
    <r>
      <rPr>
        <sz val="11"/>
        <rFont val="WenQuanYi Zen Hei"/>
        <family val="2"/>
      </rPr>
      <t xml:space="preserve">시몬스 뷰티레스트 킹오브킹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퓨전 할인가 </t>
    </r>
    <r>
      <rPr>
        <sz val="11"/>
        <rFont val="Arial"/>
        <family val="0"/>
        <charset val="1"/>
      </rPr>
      <t xml:space="preserve">~ </t>
    </r>
    <r>
      <rPr>
        <sz val="11"/>
        <rFont val="WenQuanYi Zen Hei"/>
        <family val="2"/>
      </rPr>
      <t xml:space="preserve">자스민 정가</t>
    </r>
    <r>
      <rPr>
        <sz val="11"/>
        <rFont val="Arial"/>
        <family val="0"/>
        <charset val="1"/>
      </rPr>
      <t xml:space="preserve">)</t>
    </r>
  </si>
  <si>
    <t xml:space="preserve">안방 침대 프레임</t>
  </si>
  <si>
    <t xml:space="preserve">패브릭 헤드보드</t>
  </si>
  <si>
    <r>
      <rPr>
        <sz val="11"/>
        <rFont val="WenQuanYi Zen Hei"/>
        <family val="2"/>
      </rPr>
      <t xml:space="preserve">시몬스 뷰티레스트 시트러스 킹오브킹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할인가</t>
    </r>
    <r>
      <rPr>
        <sz val="11"/>
        <rFont val="Arial"/>
        <family val="0"/>
        <charset val="1"/>
      </rPr>
      <t xml:space="preserve">~</t>
    </r>
    <r>
      <rPr>
        <sz val="11"/>
        <rFont val="WenQuanYi Zen Hei"/>
        <family val="2"/>
      </rPr>
      <t xml:space="preserve">정가</t>
    </r>
    <r>
      <rPr>
        <sz val="11"/>
        <rFont val="Arial"/>
        <family val="0"/>
        <charset val="1"/>
      </rPr>
      <t xml:space="preserve">)</t>
    </r>
  </si>
  <si>
    <t xml:space="preserve">식탁 세트</t>
  </si>
  <si>
    <r>
      <rPr>
        <sz val="11"/>
        <rFont val="Arial"/>
        <family val="0"/>
        <charset val="1"/>
      </rPr>
      <t xml:space="preserve">2000×900 </t>
    </r>
    <r>
      <rPr>
        <sz val="11"/>
        <rFont val="WenQuanYi Zen Hei"/>
        <family val="2"/>
      </rPr>
      <t xml:space="preserve">식탁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의자</t>
    </r>
  </si>
  <si>
    <r>
      <rPr>
        <sz val="11"/>
        <rFont val="WenQuanYi Zen Hei"/>
        <family val="2"/>
      </rPr>
      <t xml:space="preserve">포세린 세라믹 </t>
    </r>
    <r>
      <rPr>
        <sz val="11"/>
        <rFont val="Arial"/>
        <family val="0"/>
        <charset val="1"/>
      </rPr>
      <t xml:space="preserve">2000 6</t>
    </r>
    <r>
      <rPr>
        <sz val="11"/>
        <rFont val="WenQuanYi Zen Hei"/>
        <family val="2"/>
      </rPr>
      <t xml:space="preserve">인 세트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한샘 루엘 </t>
    </r>
    <r>
      <rPr>
        <sz val="11"/>
        <rFont val="Arial"/>
        <family val="0"/>
        <charset val="1"/>
      </rPr>
      <t xml:space="preserve">~ </t>
    </r>
    <r>
      <rPr>
        <sz val="11"/>
        <rFont val="WenQuanYi Zen Hei"/>
        <family val="2"/>
      </rPr>
      <t xml:space="preserve">세리드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</si>
  <si>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자녀방 책상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개</t>
    </r>
  </si>
  <si>
    <t xml:space="preserve">창가 책상</t>
  </si>
  <si>
    <r>
      <rPr>
        <sz val="11"/>
        <rFont val="WenQuanYi Zen Hei"/>
        <family val="2"/>
      </rPr>
      <t xml:space="preserve">일룸 링키 컴팩트 책상세트 </t>
    </r>
    <r>
      <rPr>
        <sz val="11"/>
        <rFont val="Arial"/>
        <family val="0"/>
        <charset val="1"/>
      </rPr>
      <t xml:space="preserve">43.9</t>
    </r>
    <r>
      <rPr>
        <sz val="11"/>
        <rFont val="WenQuanYi Zen Hei"/>
        <family val="2"/>
      </rPr>
      <t xml:space="preserve">만 원 </t>
    </r>
    <r>
      <rPr>
        <sz val="11"/>
        <rFont val="Arial"/>
        <family val="0"/>
        <charset val="1"/>
      </rPr>
      <t xml:space="preserve">× 2 (2026-03-01 </t>
    </r>
    <r>
      <rPr>
        <sz val="11"/>
        <rFont val="WenQuanYi Zen Hei"/>
        <family val="2"/>
      </rPr>
      <t xml:space="preserve">최저가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</si>
  <si>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자녀방 침대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개</t>
    </r>
  </si>
  <si>
    <t xml:space="preserve">싱글</t>
  </si>
  <si>
    <r>
      <rPr>
        <sz val="11"/>
        <rFont val="WenQuanYi Zen Hei"/>
        <family val="2"/>
      </rPr>
      <t xml:space="preserve">서재 소파베드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의자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화장대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조명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러그</t>
    </r>
  </si>
  <si>
    <r>
      <rPr>
        <i val="true"/>
        <sz val="9"/>
        <rFont val="WenQuanYi Zen Hei"/>
        <family val="2"/>
      </rPr>
      <t xml:space="preserve">주의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올수리 평당 단가에 샷시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WenQuanYi Zen Hei"/>
        <family val="2"/>
      </rPr>
      <t xml:space="preserve">확장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WenQuanYi Zen Hei"/>
        <family val="2"/>
      </rPr>
      <t xml:space="preserve">에어컨이 이미 포함된 견적도 있어 공사 합계에 중복이 있을 수 있음</t>
    </r>
    <r>
      <rPr>
        <i val="true"/>
        <sz val="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</si>
</sst>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\(#,##0.0\);\-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1"/>
      <color rgb="FFFFFFFF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563C1"/>
      <name val="WenQuanYi Zen Hei"/>
      <family val="2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jd.co.kr/contents/basic-tip/detail/&#54788;&#51109;_&#50629;&#51088;&#44032;_&#50508;&#47140;&#46300;&#47532;&#45716;_&#50500;&#54028;&#53944;_&#47532;&#47784;&#45944;&#47553;_&#48708;&#50857;_&#54217;&#45817;_&#44032;&#44201;!-50541" TargetMode="External"/><Relationship Id="rId2" Type="http://schemas.openxmlformats.org/officeDocument/2006/relationships/hyperlink" Target="https://www.ajd.co.kr/contents/basic-tip/detail/&#48156;&#53076;&#45768;_&#54869;&#51109;_&#48708;&#50857;_&#50620;&#47560;&#51068;&#44620;_&#50500;&#54028;&#53944;_&#54869;&#51109;_&#44204;&#51201;&#44284;_&#49884;&#44277;_&#51452;&#51032;&#49324;&#54637;_&#52509;&#51221;&#47532;-93092" TargetMode="External"/><Relationship Id="rId3" Type="http://schemas.openxmlformats.org/officeDocument/2006/relationships/hyperlink" Target="https://www.ajd.co.kr/contents/basic-tip/detail/&#48156;&#53076;&#45768;_&#54869;&#51109;_&#48708;&#50857;_&#50620;&#47560;&#51068;&#44620;_&#50500;&#54028;&#53944;_&#54869;&#51109;_&#44204;&#51201;&#44284;_&#49884;&#44277;_&#51452;&#51032;&#49324;&#54637;_&#52509;&#51221;&#47532;-93092" TargetMode="External"/><Relationship Id="rId4" Type="http://schemas.openxmlformats.org/officeDocument/2006/relationships/hyperlink" Target="https://ohou.se/advices/12575" TargetMode="External"/><Relationship Id="rId5" Type="http://schemas.openxmlformats.org/officeDocument/2006/relationships/hyperlink" Target="https://www.ajd.co.kr/contents/basic-tip/detail/&#54868;&#51109;&#49892;&#47532;&#47784;&#45944;&#47553;_&#48708;&#50857;_&#50837;&#49892;_&#47532;&#47784;&#45944;&#47553;_&#48708;&#50857;_&#49884;&#44277;&#53440;&#51077;&#48324;_&#50696;&#49345;_&#44204;&#51201;-54498" TargetMode="External"/><Relationship Id="rId6" Type="http://schemas.openxmlformats.org/officeDocument/2006/relationships/hyperlink" Target="https://store.hanssem.com/category/20009" TargetMode="External"/><Relationship Id="rId7" Type="http://schemas.openxmlformats.org/officeDocument/2006/relationships/hyperlink" Target="https://www.ajd.co.kr/contents/basic-tip/detail/40&#54217;&#45824;_&#50500;&#54028;&#53944;_&#51064;&#53580;&#47532;&#50612;_&#48708;&#50857;&#44284;_&#44204;&#51201;,_&#47784;&#46304;_&#49464;&#48512;_&#49324;&#54637;_&#52509;&#51221;&#47532;-51804" TargetMode="External"/><Relationship Id="rId8" Type="http://schemas.openxmlformats.org/officeDocument/2006/relationships/hyperlink" Target="https://www.clien.net/service/board/kin/17881781" TargetMode="External"/><Relationship Id="rId9" Type="http://schemas.openxmlformats.org/officeDocument/2006/relationships/hyperlink" Target="https://news.samsung.com/kr/&#49340;&#49457;&#51204;&#51088;-&#48708;&#49828;&#54252;&#53356;-&#53412;&#52828;&#54607;-&#47589;&#49828;-&#45257;&#51109;&#44256;-&#49888;&#51228;&#54408;-&#52636;&#49884;" TargetMode="External"/><Relationship Id="rId10" Type="http://schemas.openxmlformats.org/officeDocument/2006/relationships/hyperlink" Target="https://keyzard.cc/views/nb/PS02JjBlZW1ta2xmbW5maGppbQ" TargetMode="External"/><Relationship Id="rId11" Type="http://schemas.openxmlformats.org/officeDocument/2006/relationships/hyperlink" Target="https://www.lge.co.kr/wash-tower/wa2525egzf" TargetMode="External"/><Relationship Id="rId12" Type="http://schemas.openxmlformats.org/officeDocument/2006/relationships/hyperlink" Target="https://www.samsung.com/sec/tvs/all-tvs/" TargetMode="External"/><Relationship Id="rId13" Type="http://schemas.openxmlformats.org/officeDocument/2006/relationships/hyperlink" Target="https://www.lazboy.co.kr/127" TargetMode="External"/><Relationship Id="rId14" Type="http://schemas.openxmlformats.org/officeDocument/2006/relationships/hyperlink" Target="https://www.simmons.co.kr/products?categoryNo=848502" TargetMode="External"/><Relationship Id="rId15" Type="http://schemas.openxmlformats.org/officeDocument/2006/relationships/hyperlink" Target="https://www.simmons.co.kr/products?categoryNo=848503" TargetMode="External"/><Relationship Id="rId16" Type="http://schemas.openxmlformats.org/officeDocument/2006/relationships/hyperlink" Target="https://store.hanssem.com/goods/1116732" TargetMode="External"/><Relationship Id="rId17" Type="http://schemas.openxmlformats.org/officeDocument/2006/relationships/hyperlink" Target="https://www.iloom.com/product/item.do?categoryNo=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f aca="false">SUMIFS(예산표!$E$5:$E$28,예산표!$A$5:$A$28,A4)</f>
        <v>7489</v>
      </c>
      <c r="C4" s="4" t="n">
        <f aca="false">SUMIFS(예산표!$F$5:$F$28,예산표!$A$5:$A$28,A4)</f>
        <v>17392.5</v>
      </c>
      <c r="D4" s="3" t="n">
        <f aca="false">COUNTIFS(예산표!$A$5:$A$28,A4,예산표!$E$5:$E$28,"")</f>
        <v>2</v>
      </c>
    </row>
    <row r="5" customFormat="false" ht="15" hidden="false" customHeight="false" outlineLevel="0" collapsed="false">
      <c r="A5" s="3" t="s">
        <v>6</v>
      </c>
      <c r="B5" s="4" t="n">
        <f aca="false">SUMIFS(예산표!$E$5:$E$28,예산표!$A$5:$A$28,A5)</f>
        <v>1042.5</v>
      </c>
      <c r="C5" s="4" t="n">
        <f aca="false">SUMIFS(예산표!$F$5:$F$28,예산표!$A$5:$A$28,A5)</f>
        <v>1488</v>
      </c>
      <c r="D5" s="3" t="n">
        <f aca="false">COUNTIFS(예산표!$A$5:$A$28,A5,예산표!$E$5:$E$28,"")</f>
        <v>2</v>
      </c>
    </row>
    <row r="6" customFormat="false" ht="15" hidden="false" customHeight="false" outlineLevel="0" collapsed="false">
      <c r="A6" s="3" t="s">
        <v>7</v>
      </c>
      <c r="B6" s="4" t="n">
        <f aca="false">SUMIFS(예산표!$E$5:$E$28,예산표!$A$5:$A$28,A6)</f>
        <v>2280.6</v>
      </c>
      <c r="C6" s="4" t="n">
        <f aca="false">SUMIFS(예산표!$F$5:$F$28,예산표!$A$5:$A$28,A6)</f>
        <v>2996.8</v>
      </c>
      <c r="D6" s="3" t="n">
        <f aca="false">COUNTIFS(예산표!$A$5:$A$28,A6,예산표!$E$5:$E$28,"")</f>
        <v>2</v>
      </c>
    </row>
    <row r="7" customFormat="false" ht="15" hidden="false" customHeight="false" outlineLevel="0" collapsed="false">
      <c r="A7" s="5" t="s">
        <v>8</v>
      </c>
      <c r="B7" s="4" t="n">
        <f aca="false">SUM(B4:B6)</f>
        <v>10812.1</v>
      </c>
      <c r="C7" s="4" t="n">
        <f aca="false">SUM(C4:C6)</f>
        <v>21877.3</v>
      </c>
      <c r="D7" s="3" t="n">
        <f aca="false">SUM(D4:D6)</f>
        <v>6</v>
      </c>
    </row>
    <row r="8" customFormat="false" ht="15" hidden="false" customHeight="false" outlineLevel="0" collapsed="false">
      <c r="A8" s="5" t="s">
        <v>9</v>
      </c>
      <c r="B8" s="6" t="n">
        <v>50000</v>
      </c>
      <c r="C8" s="4" t="n">
        <f aca="false">B8</f>
        <v>50000</v>
      </c>
    </row>
    <row r="9" customFormat="false" ht="15" hidden="false" customHeight="false" outlineLevel="0" collapsed="false">
      <c r="A9" s="5" t="s">
        <v>10</v>
      </c>
      <c r="B9" s="4" t="n">
        <f aca="false">B8-B7</f>
        <v>39187.9</v>
      </c>
      <c r="C9" s="4" t="n">
        <f aca="false">C8-C7</f>
        <v>28122.7</v>
      </c>
    </row>
    <row r="10" customFormat="false" ht="15" hidden="false" customHeight="false" outlineLevel="0" collapsed="false">
      <c r="A10" s="5" t="s">
        <v>11</v>
      </c>
      <c r="B10" s="7" t="n">
        <f aca="false">IF(B8=0,0,B7/B8)</f>
        <v>0.216242</v>
      </c>
      <c r="C10" s="7" t="n">
        <f aca="false">IF(C8=0,0,C7/C8)</f>
        <v>0.437546</v>
      </c>
    </row>
    <row r="12" customFormat="false" ht="15" hidden="false" customHeight="false" outlineLevel="0" collapsed="false">
      <c r="A12" s="8" t="s">
        <v>12</v>
      </c>
    </row>
    <row r="13" customFormat="false" ht="15" hidden="false" customHeight="false" outlineLevel="0" collapsed="false">
      <c r="A13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6" min="5" style="0" width="12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40"/>
  </cols>
  <sheetData>
    <row r="1" customFormat="false" ht="19.4" hidden="false" customHeight="false" outlineLevel="0" collapsed="false">
      <c r="A1" s="1" t="s">
        <v>14</v>
      </c>
    </row>
    <row r="2" customFormat="false" ht="30" hidden="false" customHeight="true" outlineLevel="0" collapsed="false">
      <c r="A2" s="9" t="s">
        <v>15</v>
      </c>
      <c r="B2" s="9"/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A4" s="2" t="s">
        <v>1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</row>
    <row r="5" customFormat="false" ht="28.35" hidden="false" customHeight="false" outlineLevel="0" collapsed="false">
      <c r="A5" s="10" t="s">
        <v>5</v>
      </c>
      <c r="B5" s="10" t="s">
        <v>24</v>
      </c>
      <c r="C5" s="10" t="s">
        <v>25</v>
      </c>
      <c r="D5" s="10" t="s">
        <v>26</v>
      </c>
      <c r="E5" s="11" t="n">
        <f aca="false">42.49*100</f>
        <v>4249</v>
      </c>
      <c r="F5" s="11" t="n">
        <f aca="false">42.49*250</f>
        <v>10622.5</v>
      </c>
      <c r="G5" s="10" t="s">
        <v>27</v>
      </c>
      <c r="H5" s="12" t="s">
        <v>28</v>
      </c>
      <c r="I5" s="10" t="s">
        <v>29</v>
      </c>
    </row>
    <row r="6" customFormat="false" ht="15" hidden="false" customHeight="false" outlineLevel="0" collapsed="false">
      <c r="A6" s="10" t="s">
        <v>5</v>
      </c>
      <c r="B6" s="10" t="s">
        <v>30</v>
      </c>
      <c r="C6" s="10" t="s">
        <v>31</v>
      </c>
      <c r="D6" s="13" t="s">
        <v>32</v>
      </c>
      <c r="E6" s="14" t="n">
        <v>300</v>
      </c>
      <c r="F6" s="14" t="n">
        <v>600</v>
      </c>
      <c r="G6" s="10" t="s">
        <v>27</v>
      </c>
      <c r="H6" s="12" t="s">
        <v>28</v>
      </c>
      <c r="I6" s="10"/>
    </row>
    <row r="7" customFormat="false" ht="15" hidden="false" customHeight="false" outlineLevel="0" collapsed="false">
      <c r="A7" s="10" t="s">
        <v>5</v>
      </c>
      <c r="B7" s="10" t="s">
        <v>33</v>
      </c>
      <c r="C7" s="10" t="s">
        <v>34</v>
      </c>
      <c r="D7" s="10" t="s">
        <v>35</v>
      </c>
      <c r="E7" s="14" t="n">
        <v>180</v>
      </c>
      <c r="F7" s="14" t="n">
        <v>270</v>
      </c>
      <c r="G7" s="10" t="s">
        <v>27</v>
      </c>
      <c r="H7" s="12" t="s">
        <v>28</v>
      </c>
      <c r="I7" s="10"/>
    </row>
    <row r="8" customFormat="false" ht="15" hidden="false" customHeight="false" outlineLevel="0" collapsed="false">
      <c r="A8" s="10" t="s">
        <v>5</v>
      </c>
      <c r="B8" s="10" t="s">
        <v>36</v>
      </c>
      <c r="C8" s="10" t="s">
        <v>34</v>
      </c>
      <c r="D8" s="10" t="s">
        <v>37</v>
      </c>
      <c r="E8" s="15"/>
      <c r="F8" s="15"/>
      <c r="G8" s="13" t="s">
        <v>38</v>
      </c>
      <c r="H8" s="10"/>
      <c r="I8" s="10" t="s">
        <v>39</v>
      </c>
    </row>
    <row r="9" customFormat="false" ht="15" hidden="false" customHeight="false" outlineLevel="0" collapsed="false">
      <c r="A9" s="10" t="s">
        <v>5</v>
      </c>
      <c r="B9" s="10" t="s">
        <v>40</v>
      </c>
      <c r="C9" s="10" t="s">
        <v>41</v>
      </c>
      <c r="D9" s="13" t="s">
        <v>42</v>
      </c>
      <c r="E9" s="14" t="n">
        <v>850</v>
      </c>
      <c r="F9" s="14" t="n">
        <v>1200</v>
      </c>
      <c r="G9" s="10" t="s">
        <v>27</v>
      </c>
      <c r="H9" s="12" t="s">
        <v>28</v>
      </c>
      <c r="I9" s="10"/>
    </row>
    <row r="10" customFormat="false" ht="15" hidden="false" customHeight="false" outlineLevel="0" collapsed="false">
      <c r="A10" s="10" t="s">
        <v>5</v>
      </c>
      <c r="B10" s="10" t="s">
        <v>43</v>
      </c>
      <c r="C10" s="10" t="s">
        <v>44</v>
      </c>
      <c r="D10" s="13" t="s">
        <v>45</v>
      </c>
      <c r="E10" s="11" t="n">
        <f aca="false">230*2</f>
        <v>460</v>
      </c>
      <c r="F10" s="11" t="n">
        <f aca="false">950*2</f>
        <v>1900</v>
      </c>
      <c r="G10" s="10" t="s">
        <v>27</v>
      </c>
      <c r="H10" s="12" t="s">
        <v>28</v>
      </c>
      <c r="I10" s="10"/>
    </row>
    <row r="11" customFormat="false" ht="15" hidden="false" customHeight="false" outlineLevel="0" collapsed="false">
      <c r="A11" s="10" t="s">
        <v>5</v>
      </c>
      <c r="B11" s="10" t="s">
        <v>46</v>
      </c>
      <c r="C11" s="10" t="s">
        <v>47</v>
      </c>
      <c r="D11" s="10" t="s">
        <v>48</v>
      </c>
      <c r="E11" s="14" t="n">
        <v>900</v>
      </c>
      <c r="F11" s="14" t="n">
        <v>1500</v>
      </c>
      <c r="G11" s="10" t="s">
        <v>27</v>
      </c>
      <c r="H11" s="12" t="s">
        <v>28</v>
      </c>
      <c r="I11" s="10"/>
    </row>
    <row r="12" customFormat="false" ht="15" hidden="false" customHeight="false" outlineLevel="0" collapsed="false">
      <c r="A12" s="10" t="s">
        <v>5</v>
      </c>
      <c r="B12" s="10" t="s">
        <v>49</v>
      </c>
      <c r="C12" s="10" t="s">
        <v>50</v>
      </c>
      <c r="D12" s="10" t="s">
        <v>51</v>
      </c>
      <c r="E12" s="11" t="n">
        <f aca="false">100*2+200</f>
        <v>400</v>
      </c>
      <c r="F12" s="11" t="n">
        <f aca="false">300*2+500</f>
        <v>1100</v>
      </c>
      <c r="G12" s="10" t="s">
        <v>27</v>
      </c>
      <c r="H12" s="12" t="s">
        <v>28</v>
      </c>
      <c r="I12" s="10"/>
    </row>
    <row r="13" customFormat="false" ht="15" hidden="false" customHeight="false" outlineLevel="0" collapsed="false">
      <c r="A13" s="10" t="s">
        <v>5</v>
      </c>
      <c r="B13" s="10" t="s">
        <v>52</v>
      </c>
      <c r="C13" s="10"/>
      <c r="D13" s="10" t="s">
        <v>37</v>
      </c>
      <c r="E13" s="15"/>
      <c r="F13" s="15"/>
      <c r="G13" s="13" t="s">
        <v>38</v>
      </c>
      <c r="H13" s="10"/>
      <c r="I13" s="10" t="s">
        <v>39</v>
      </c>
    </row>
    <row r="14" customFormat="false" ht="15" hidden="false" customHeight="false" outlineLevel="0" collapsed="false">
      <c r="A14" s="10" t="s">
        <v>5</v>
      </c>
      <c r="B14" s="10" t="s">
        <v>53</v>
      </c>
      <c r="C14" s="10" t="s">
        <v>54</v>
      </c>
      <c r="D14" s="13" t="s">
        <v>55</v>
      </c>
      <c r="E14" s="14" t="n">
        <v>150</v>
      </c>
      <c r="F14" s="14" t="n">
        <v>200</v>
      </c>
      <c r="G14" s="10" t="s">
        <v>27</v>
      </c>
      <c r="H14" s="12" t="s">
        <v>28</v>
      </c>
      <c r="I14" s="10"/>
    </row>
    <row r="15" customFormat="false" ht="15" hidden="false" customHeight="false" outlineLevel="0" collapsed="false">
      <c r="A15" s="10" t="s">
        <v>6</v>
      </c>
      <c r="B15" s="10" t="s">
        <v>56</v>
      </c>
      <c r="C15" s="10" t="s">
        <v>57</v>
      </c>
      <c r="D15" s="10" t="s">
        <v>58</v>
      </c>
      <c r="E15" s="14" t="n">
        <v>309</v>
      </c>
      <c r="F15" s="14" t="n">
        <v>369</v>
      </c>
      <c r="G15" s="10" t="s">
        <v>27</v>
      </c>
      <c r="H15" s="12" t="s">
        <v>28</v>
      </c>
      <c r="I15" s="10"/>
    </row>
    <row r="16" customFormat="false" ht="15" hidden="false" customHeight="false" outlineLevel="0" collapsed="false">
      <c r="A16" s="10" t="s">
        <v>6</v>
      </c>
      <c r="B16" s="10" t="s">
        <v>59</v>
      </c>
      <c r="C16" s="10" t="s">
        <v>60</v>
      </c>
      <c r="D16" s="10" t="s">
        <v>37</v>
      </c>
      <c r="E16" s="15"/>
      <c r="F16" s="15"/>
      <c r="G16" s="13" t="s">
        <v>38</v>
      </c>
      <c r="H16" s="10"/>
      <c r="I16" s="10" t="s">
        <v>39</v>
      </c>
    </row>
    <row r="17" customFormat="false" ht="15" hidden="false" customHeight="false" outlineLevel="0" collapsed="false">
      <c r="A17" s="10" t="s">
        <v>6</v>
      </c>
      <c r="B17" s="10" t="s">
        <v>61</v>
      </c>
      <c r="C17" s="10" t="s">
        <v>62</v>
      </c>
      <c r="D17" s="10" t="s">
        <v>63</v>
      </c>
      <c r="E17" s="14" t="n">
        <v>236.2</v>
      </c>
      <c r="F17" s="14" t="n">
        <v>268</v>
      </c>
      <c r="G17" s="10" t="s">
        <v>27</v>
      </c>
      <c r="H17" s="12" t="s">
        <v>28</v>
      </c>
      <c r="I17" s="10"/>
    </row>
    <row r="18" customFormat="false" ht="15" hidden="false" customHeight="false" outlineLevel="0" collapsed="false">
      <c r="A18" s="10" t="s">
        <v>6</v>
      </c>
      <c r="B18" s="10" t="s">
        <v>64</v>
      </c>
      <c r="C18" s="10" t="s">
        <v>65</v>
      </c>
      <c r="D18" s="10" t="s">
        <v>37</v>
      </c>
      <c r="E18" s="15"/>
      <c r="F18" s="15"/>
      <c r="G18" s="13" t="s">
        <v>38</v>
      </c>
      <c r="H18" s="10"/>
      <c r="I18" s="10" t="s">
        <v>39</v>
      </c>
    </row>
    <row r="19" customFormat="false" ht="15" hidden="false" customHeight="false" outlineLevel="0" collapsed="false">
      <c r="A19" s="10" t="s">
        <v>6</v>
      </c>
      <c r="B19" s="10" t="s">
        <v>66</v>
      </c>
      <c r="C19" s="10" t="s">
        <v>67</v>
      </c>
      <c r="D19" s="13" t="s">
        <v>68</v>
      </c>
      <c r="E19" s="14" t="n">
        <v>208.3</v>
      </c>
      <c r="F19" s="14" t="n">
        <v>482</v>
      </c>
      <c r="G19" s="10" t="s">
        <v>27</v>
      </c>
      <c r="H19" s="12" t="s">
        <v>28</v>
      </c>
      <c r="I19" s="10"/>
    </row>
    <row r="20" customFormat="false" ht="15" hidden="false" customHeight="false" outlineLevel="0" collapsed="false">
      <c r="A20" s="10" t="s">
        <v>6</v>
      </c>
      <c r="B20" s="13" t="s">
        <v>69</v>
      </c>
      <c r="C20" s="10" t="s">
        <v>70</v>
      </c>
      <c r="D20" s="10" t="s">
        <v>71</v>
      </c>
      <c r="E20" s="14" t="n">
        <v>289</v>
      </c>
      <c r="F20" s="14" t="n">
        <v>369</v>
      </c>
      <c r="G20" s="10" t="s">
        <v>27</v>
      </c>
      <c r="H20" s="12" t="s">
        <v>28</v>
      </c>
      <c r="I20" s="10"/>
    </row>
    <row r="21" customFormat="false" ht="15" hidden="false" customHeight="false" outlineLevel="0" collapsed="false">
      <c r="A21" s="10" t="s">
        <v>7</v>
      </c>
      <c r="B21" s="10" t="s">
        <v>72</v>
      </c>
      <c r="C21" s="10" t="s">
        <v>73</v>
      </c>
      <c r="D21" s="10" t="s">
        <v>74</v>
      </c>
      <c r="E21" s="14" t="n">
        <v>1000</v>
      </c>
      <c r="F21" s="14" t="n">
        <v>1000</v>
      </c>
      <c r="G21" s="10" t="s">
        <v>75</v>
      </c>
      <c r="H21" s="10"/>
      <c r="I21" s="10" t="s">
        <v>76</v>
      </c>
    </row>
    <row r="22" customFormat="false" ht="15" hidden="false" customHeight="false" outlineLevel="0" collapsed="false">
      <c r="A22" s="10" t="s">
        <v>7</v>
      </c>
      <c r="B22" s="10" t="s">
        <v>77</v>
      </c>
      <c r="C22" s="13" t="s">
        <v>78</v>
      </c>
      <c r="D22" s="10" t="s">
        <v>79</v>
      </c>
      <c r="E22" s="11" t="n">
        <f aca="false">260*2</f>
        <v>520</v>
      </c>
      <c r="F22" s="11" t="n">
        <f aca="false">299.5*2</f>
        <v>599</v>
      </c>
      <c r="G22" s="10" t="s">
        <v>27</v>
      </c>
      <c r="H22" s="12" t="s">
        <v>28</v>
      </c>
      <c r="I22" s="10"/>
    </row>
    <row r="23" customFormat="false" ht="15" hidden="false" customHeight="false" outlineLevel="0" collapsed="false">
      <c r="A23" s="10" t="s">
        <v>7</v>
      </c>
      <c r="B23" s="10" t="s">
        <v>80</v>
      </c>
      <c r="C23" s="10" t="s">
        <v>81</v>
      </c>
      <c r="D23" s="10" t="s">
        <v>82</v>
      </c>
      <c r="E23" s="14" t="n">
        <v>191.3</v>
      </c>
      <c r="F23" s="14" t="n">
        <v>569</v>
      </c>
      <c r="G23" s="10" t="s">
        <v>27</v>
      </c>
      <c r="H23" s="12" t="s">
        <v>28</v>
      </c>
      <c r="I23" s="10"/>
    </row>
    <row r="24" customFormat="false" ht="15" hidden="false" customHeight="false" outlineLevel="0" collapsed="false">
      <c r="A24" s="10" t="s">
        <v>7</v>
      </c>
      <c r="B24" s="10" t="s">
        <v>83</v>
      </c>
      <c r="C24" s="10" t="s">
        <v>84</v>
      </c>
      <c r="D24" s="10" t="s">
        <v>85</v>
      </c>
      <c r="E24" s="14" t="n">
        <v>408.7</v>
      </c>
      <c r="F24" s="14" t="n">
        <v>601</v>
      </c>
      <c r="G24" s="10" t="s">
        <v>27</v>
      </c>
      <c r="H24" s="12" t="s">
        <v>28</v>
      </c>
      <c r="I24" s="10"/>
    </row>
    <row r="25" customFormat="false" ht="15" hidden="false" customHeight="false" outlineLevel="0" collapsed="false">
      <c r="A25" s="10" t="s">
        <v>7</v>
      </c>
      <c r="B25" s="10" t="s">
        <v>86</v>
      </c>
      <c r="C25" s="13" t="s">
        <v>87</v>
      </c>
      <c r="D25" s="10" t="s">
        <v>88</v>
      </c>
      <c r="E25" s="14" t="n">
        <v>72.8</v>
      </c>
      <c r="F25" s="14" t="n">
        <v>140</v>
      </c>
      <c r="G25" s="10" t="s">
        <v>27</v>
      </c>
      <c r="H25" s="12" t="s">
        <v>28</v>
      </c>
      <c r="I25" s="10"/>
    </row>
    <row r="26" customFormat="false" ht="28.35" hidden="false" customHeight="false" outlineLevel="0" collapsed="false">
      <c r="A26" s="10" t="s">
        <v>7</v>
      </c>
      <c r="B26" s="10" t="s">
        <v>89</v>
      </c>
      <c r="C26" s="10" t="s">
        <v>90</v>
      </c>
      <c r="D26" s="10" t="s">
        <v>91</v>
      </c>
      <c r="E26" s="11" t="n">
        <f aca="false">43.9*2</f>
        <v>87.8</v>
      </c>
      <c r="F26" s="11" t="n">
        <f aca="false">43.9*2</f>
        <v>87.8</v>
      </c>
      <c r="G26" s="10" t="s">
        <v>27</v>
      </c>
      <c r="H26" s="12" t="s">
        <v>28</v>
      </c>
      <c r="I26" s="10"/>
    </row>
    <row r="27" customFormat="false" ht="15" hidden="false" customHeight="false" outlineLevel="0" collapsed="false">
      <c r="A27" s="10" t="s">
        <v>7</v>
      </c>
      <c r="B27" s="10" t="s">
        <v>92</v>
      </c>
      <c r="C27" s="10" t="s">
        <v>93</v>
      </c>
      <c r="D27" s="10" t="s">
        <v>37</v>
      </c>
      <c r="E27" s="15"/>
      <c r="F27" s="15"/>
      <c r="G27" s="13" t="s">
        <v>38</v>
      </c>
      <c r="H27" s="10"/>
      <c r="I27" s="10" t="s">
        <v>39</v>
      </c>
    </row>
    <row r="28" customFormat="false" ht="15" hidden="false" customHeight="false" outlineLevel="0" collapsed="false">
      <c r="A28" s="10" t="s">
        <v>7</v>
      </c>
      <c r="B28" s="10" t="s">
        <v>94</v>
      </c>
      <c r="C28" s="10"/>
      <c r="D28" s="10" t="s">
        <v>37</v>
      </c>
      <c r="E28" s="15"/>
      <c r="F28" s="15"/>
      <c r="G28" s="13" t="s">
        <v>38</v>
      </c>
      <c r="H28" s="10"/>
      <c r="I28" s="10" t="s">
        <v>39</v>
      </c>
    </row>
    <row r="30" customFormat="false" ht="15" hidden="false" customHeight="false" outlineLevel="0" collapsed="false">
      <c r="A30" s="8" t="s">
        <v>95</v>
      </c>
    </row>
  </sheetData>
  <mergeCells count="1">
    <mergeCell ref="A2:I2"/>
  </mergeCells>
  <hyperlinks>
    <hyperlink ref="H5" r:id="rId1" display="링크"/>
    <hyperlink ref="H6" r:id="rId2" display="링크"/>
    <hyperlink ref="H7" r:id="rId3" display="링크"/>
    <hyperlink ref="H9" r:id="rId4" display="링크"/>
    <hyperlink ref="H10" r:id="rId5" display="링크"/>
    <hyperlink ref="H11" r:id="rId6" display="링크"/>
    <hyperlink ref="H12" r:id="rId7" display="링크"/>
    <hyperlink ref="H14" r:id="rId8" display="링크"/>
    <hyperlink ref="H15" r:id="rId9" display="링크"/>
    <hyperlink ref="H17" r:id="rId10" display="링크"/>
    <hyperlink ref="H19" r:id="rId11" display="링크"/>
    <hyperlink ref="H20" r:id="rId12" display="링크"/>
    <hyperlink ref="H22" r:id="rId13" display="링크"/>
    <hyperlink ref="H23" r:id="rId14" display="링크"/>
    <hyperlink ref="H24" r:id="rId15" display="링크"/>
    <hyperlink ref="H25" r:id="rId16" display="링크"/>
    <hyperlink ref="H26" r:id="rId17" display="링크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2026-09-24T13:34:41Z</dcterms:created>
  <dc:creator>openpyxl</dc:creator>
  <dc:description/>
  <dc:language>en-US</dc:language>
  <cp:lastModifiedBy/>
  <dcterms:modified xsi:type="dcterms:W3CDTF">2026-09-24T13:34:41Z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